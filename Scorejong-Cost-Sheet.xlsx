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Running Costs" sheetId="1" state="visible" r:id="rId3"/>
    <sheet name="Development Valu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<sst xmlns="http://schemas.openxmlformats.org/spreadsheetml/2006/main" count="121" uniqueCount="119">
  <si>
    <t xml:space="preserve">SCOREJONG - Monthly Running Cost Sheet</t>
  </si>
  <si>
    <t xml:space="preserve">Service</t>
  </si>
  <si>
    <t xml:space="preserve">Cost/Unit</t>
  </si>
  <si>
    <t xml:space="preserve">Qty/Month</t>
  </si>
  <si>
    <t xml:space="preserve">Monthly Cost</t>
  </si>
  <si>
    <t xml:space="preserve">Notes</t>
  </si>
  <si>
    <t xml:space="preserve">Railway Hosting (Hobby Plan)</t>
  </si>
  <si>
    <t xml:space="preserve">$5.00</t>
  </si>
  <si>
    <t xml:space="preserve">Includes 500 hrs compute + 1GB RAM</t>
  </si>
  <si>
    <t xml:space="preserve">Railway Bandwidth (1GB included)</t>
  </si>
  <si>
    <t xml:space="preserve">$0.00</t>
  </si>
  <si>
    <t xml:space="preserve">Free tier covers typical usage</t>
  </si>
  <si>
    <t xml:space="preserve">OpenAI API - GPT-4.1 Vision</t>
  </si>
  <si>
    <t xml:space="preserve">$0.01</t>
  </si>
  <si>
    <t xml:space="preserve">Per scan (input+output tokens)</t>
  </si>
  <si>
    <t xml:space="preserve">  Input tokens (~1500/scan)</t>
  </si>
  <si>
    <t xml:space="preserve">$0.002</t>
  </si>
  <si>
    <t xml:space="preserve">$2/1M input tokens x ~1500 tokens</t>
  </si>
  <si>
    <t xml:space="preserve">  Output tokens (~200/scan)</t>
  </si>
  <si>
    <t xml:space="preserve">$8/1M output tokens x ~200 tokens</t>
  </si>
  <si>
    <t xml:space="preserve">  Image processing (high detail)</t>
  </si>
  <si>
    <t xml:space="preserve">$0.006</t>
  </si>
  <si>
    <t xml:space="preserve">~765 tokens for high-detail image</t>
  </si>
  <si>
    <t xml:space="preserve">Total cost per scan</t>
  </si>
  <si>
    <t xml:space="preserve">~1 cent per scan</t>
  </si>
  <si>
    <t xml:space="preserve">MONTHLY COST BY USAGE</t>
  </si>
  <si>
    <t xml:space="preserve">Usage Level</t>
  </si>
  <si>
    <t xml:space="preserve">Scans/Month</t>
  </si>
  <si>
    <t xml:space="preserve">API Cost</t>
  </si>
  <si>
    <t xml:space="preserve">Hosting</t>
  </si>
  <si>
    <t xml:space="preserve">Total/Month</t>
  </si>
  <si>
    <t xml:space="preserve">Light (personal)</t>
  </si>
  <si>
    <t xml:space="preserve">Moderate (weekly games)</t>
  </si>
  <si>
    <t xml:space="preserve">Heavy (daily games)</t>
  </si>
  <si>
    <t xml:space="preserve">Club/Group use</t>
  </si>
  <si>
    <t xml:space="preserve">Commercial</t>
  </si>
  <si>
    <t xml:space="preserve">SCOREJONG - Development Cost Estimate</t>
  </si>
  <si>
    <t xml:space="preserve">Component</t>
  </si>
  <si>
    <t xml:space="preserve">Hours</t>
  </si>
  <si>
    <t xml:space="preserve">Rate ($/hr)</t>
  </si>
  <si>
    <t xml:space="preserve">Cost</t>
  </si>
  <si>
    <t xml:space="preserve">BACKEND DEVELOPMENT</t>
  </si>
  <si>
    <t xml:space="preserve">Node.js Express server setup</t>
  </si>
  <si>
    <t xml:space="preserve">OpenAI Vision API integration</t>
  </si>
  <si>
    <t xml:space="preserve">AI prompt engineering &amp; tuning</t>
  </si>
  <si>
    <t xml:space="preserve">Rate limiting &amp; security (helmet)</t>
  </si>
  <si>
    <t xml:space="preserve">Deployment config (Railway)</t>
  </si>
  <si>
    <t xml:space="preserve">SCORING ENGINE</t>
  </si>
  <si>
    <t xml:space="preserve">Tile definitions &amp; set detection</t>
  </si>
  <si>
    <t xml:space="preserve">East Round hand detection</t>
  </si>
  <si>
    <t xml:space="preserve">Goulash hand detection &amp; scoring</t>
  </si>
  <si>
    <t xml:space="preserve">Doubles system (all rules)</t>
  </si>
  <si>
    <t xml:space="preserve">Flower scoring &amp; bouquet system</t>
  </si>
  <si>
    <t xml:space="preserve">Hand validation</t>
  </si>
  <si>
    <t xml:space="preserve">Bug fixes &amp; rule corrections (7 rounds)</t>
  </si>
  <si>
    <t xml:space="preserve">Test suite (62+ tests)</t>
  </si>
  <si>
    <t xml:space="preserve">FRONTEND DEVELOPMENT</t>
  </si>
  <si>
    <t xml:space="preserve">3-screen UI (settings/scan/results)</t>
  </si>
  <si>
    <t xml:space="preserve">Camera integration &amp; image compression</t>
  </si>
  <si>
    <t xml:space="preserve">Tile display &amp; grouping system</t>
  </si>
  <si>
    <t xml:space="preserve">Tap-to-replace tile editing</t>
  </si>
  <si>
    <t xml:space="preserve">Smart auto-correction engine</t>
  </si>
  <si>
    <t xml:space="preserve">Score breakdown display</t>
  </si>
  <si>
    <t xml:space="preserve">UI/UX DESIGN</t>
  </si>
  <si>
    <t xml:space="preserve">Baby pink glassmorphism theme</t>
  </si>
  <si>
    <t xml:space="preserve">Bold pink redesign</t>
  </si>
  <si>
    <t xml:space="preserve">3D realistic tile design</t>
  </si>
  <si>
    <t xml:space="preserve">Dark mode</t>
  </si>
  <si>
    <t xml:space="preserve">Mobile responsive design</t>
  </si>
  <si>
    <t xml:space="preserve">Animations &amp; transitions</t>
  </si>
  <si>
    <t xml:space="preserve">FEATURES</t>
  </si>
  <si>
    <t xml:space="preserve">Login/auth landing page</t>
  </si>
  <si>
    <t xml:space="preserve">Score history (localStorage)</t>
  </si>
  <si>
    <t xml:space="preserve">Share score functionality</t>
  </si>
  <si>
    <t xml:space="preserve">Settings persistence</t>
  </si>
  <si>
    <t xml:space="preserve">Tile picker (flowers/seasons split)</t>
  </si>
  <si>
    <t xml:space="preserve">Sound effects system</t>
  </si>
  <si>
    <t xml:space="preserve">PROJECT MANAGEMENT</t>
  </si>
  <si>
    <t xml:space="preserve">Requirements gathering &amp; planning</t>
  </si>
  <si>
    <t xml:space="preserve">Testing &amp; QA (10+ audit rounds)</t>
  </si>
  <si>
    <t xml:space="preserve">Bug fixing &amp; iteration</t>
  </si>
  <si>
    <t xml:space="preserve">Documentation (user guide)</t>
  </si>
  <si>
    <t xml:space="preserve">TOTAL DEVELOPMENT HOURS</t>
  </si>
  <si>
    <t xml:space="preserve">TOTAL DEVELOPMENT VALUE</t>
  </si>
  <si>
    <t xml:space="preserve">SCOREJONG COST SUMMARY</t>
  </si>
  <si>
    <t xml:space="preserve">WHAT YOU BUILT</t>
  </si>
  <si>
    <t xml:space="preserve">App Name</t>
  </si>
  <si>
    <t xml:space="preserve">Scorejong</t>
  </si>
  <si>
    <t xml:space="preserve">Type</t>
  </si>
  <si>
    <t xml:space="preserve">AI Mahjong Score Calculator</t>
  </si>
  <si>
    <t xml:space="preserve">Platform</t>
  </si>
  <si>
    <t xml:space="preserve">Web (mobile-first)</t>
  </si>
  <si>
    <t xml:space="preserve">Hosted On</t>
  </si>
  <si>
    <t xml:space="preserve">Railway</t>
  </si>
  <si>
    <t xml:space="preserve">AI Model</t>
  </si>
  <si>
    <t xml:space="preserve">OpenAI GPT-4.1 Vision</t>
  </si>
  <si>
    <t xml:space="preserve">Features</t>
  </si>
  <si>
    <t xml:space="preserve">111 tasks completed</t>
  </si>
  <si>
    <t xml:space="preserve">MONTHLY RUNNING COSTS</t>
  </si>
  <si>
    <t xml:space="preserve">Hosting (Railway)</t>
  </si>
  <si>
    <t xml:space="preserve">$5/month</t>
  </si>
  <si>
    <t xml:space="preserve">API cost per scan</t>
  </si>
  <si>
    <t xml:space="preserve">~$0.01</t>
  </si>
  <si>
    <t xml:space="preserve">Light use (50 scans/mo)</t>
  </si>
  <si>
    <t xml:space="preserve">~$5.50/month</t>
  </si>
  <si>
    <t xml:space="preserve">Moderate (200 scans/mo)</t>
  </si>
  <si>
    <t xml:space="preserve">~$7/month</t>
  </si>
  <si>
    <t xml:space="preserve">Heavy (500 scans/mo)</t>
  </si>
  <si>
    <t xml:space="preserve">~$10/month</t>
  </si>
  <si>
    <t xml:space="preserve">DEVELOPMENT VALUE</t>
  </si>
  <si>
    <t xml:space="preserve">Total hours invested</t>
  </si>
  <si>
    <t xml:space="preserve">~220 hours</t>
  </si>
  <si>
    <t xml:space="preserve">Avg developer rate</t>
  </si>
  <si>
    <t xml:space="preserve">$130-150/hr</t>
  </si>
  <si>
    <t xml:space="preserve">Estimated dev cost</t>
  </si>
  <si>
    <t xml:space="preserve">$30,000+</t>
  </si>
  <si>
    <t xml:space="preserve">Your actual cost</t>
  </si>
  <si>
    <t xml:space="preserve">$0 (built with Claude)</t>
  </si>
  <si>
    <t xml:space="preserve">SAVINGS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</si>
</sst>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"/>
    <numFmt numFmtId="166" formatCode="\$#,##0.00"/>
    <numFmt numFmtId="167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149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D0A2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D0A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1493"/>
      <name val="Arial"/>
      <family val="0"/>
      <charset val="1"/>
    </font>
    <font>
      <b val="true"/>
      <sz val="12"/>
      <color rgb="FFFF1493"/>
      <name val="Arial"/>
      <family val="0"/>
      <charset val="1"/>
    </font>
    <font>
      <b val="true"/>
      <sz val="10"/>
      <color rgb="FFFF149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E0EF"/>
        <bgColor rgb="FFF5F5F5"/>
      </patternFill>
    </fill>
    <fill>
      <patternFill patternType="solid">
        <fgColor rgb="FFFF1493"/>
        <bgColor rgb="FFFF00FF"/>
      </patternFill>
    </fill>
    <fill>
      <patternFill patternType="solid">
        <fgColor rgb="FFF5F5F5"/>
        <bgColor rgb="FFFFFDE7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1493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5F5F5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0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  <c r="C4" s="4" t="n">
        <v>1</v>
      </c>
      <c r="D4" s="3" t="n">
        <f aca="false">B4*C4</f>
        <v>5</v>
      </c>
      <c r="E4" s="3" t="s">
        <v>8</v>
      </c>
    </row>
    <row r="5" customFormat="false" ht="15" hidden="false" customHeight="false" outlineLevel="0" collapsed="false">
      <c r="A5" s="3" t="s">
        <v>9</v>
      </c>
      <c r="B5" s="4" t="s">
        <v>10</v>
      </c>
      <c r="C5" s="4" t="n">
        <v>1</v>
      </c>
      <c r="D5" s="3" t="n">
        <f aca="false">B5*C5</f>
        <v>0</v>
      </c>
      <c r="E5" s="3" t="s">
        <v>11</v>
      </c>
    </row>
    <row r="6" customFormat="false" ht="15" hidden="false" customHeight="false" outlineLevel="0" collapsed="false">
      <c r="A6" s="3" t="s">
        <v>12</v>
      </c>
      <c r="B6" s="4" t="s">
        <v>13</v>
      </c>
      <c r="C6" s="4"/>
      <c r="D6" s="3"/>
      <c r="E6" s="3" t="s">
        <v>14</v>
      </c>
    </row>
    <row r="7" customFormat="false" ht="15" hidden="false" customHeight="false" outlineLevel="0" collapsed="false">
      <c r="A7" s="3" t="s">
        <v>15</v>
      </c>
      <c r="B7" s="4" t="s">
        <v>16</v>
      </c>
      <c r="C7" s="5"/>
      <c r="D7" s="5"/>
      <c r="E7" s="3" t="s">
        <v>17</v>
      </c>
    </row>
    <row r="8" customFormat="false" ht="15" hidden="false" customHeight="false" outlineLevel="0" collapsed="false">
      <c r="A8" s="3" t="s">
        <v>18</v>
      </c>
      <c r="B8" s="4" t="s">
        <v>16</v>
      </c>
      <c r="C8" s="5"/>
      <c r="D8" s="5"/>
      <c r="E8" s="3" t="s">
        <v>19</v>
      </c>
    </row>
    <row r="9" customFormat="false" ht="15" hidden="false" customHeight="false" outlineLevel="0" collapsed="false">
      <c r="A9" s="3" t="s">
        <v>20</v>
      </c>
      <c r="B9" s="4" t="s">
        <v>21</v>
      </c>
      <c r="C9" s="5"/>
      <c r="D9" s="5"/>
      <c r="E9" s="3" t="s">
        <v>22</v>
      </c>
    </row>
    <row r="10" customFormat="false" ht="15" hidden="false" customHeight="false" outlineLevel="0" collapsed="false">
      <c r="A10" s="6" t="s">
        <v>23</v>
      </c>
      <c r="B10" s="7" t="n">
        <f aca="false">SUM(B7:B9)</f>
        <v>0</v>
      </c>
      <c r="C10" s="5"/>
      <c r="D10" s="5"/>
      <c r="E10" s="3" t="s">
        <v>24</v>
      </c>
    </row>
    <row r="12" customFormat="false" ht="15" hidden="false" customHeight="false" outlineLevel="0" collapsed="false">
      <c r="A12" s="8" t="s">
        <v>25</v>
      </c>
      <c r="B12" s="8"/>
      <c r="C12" s="8"/>
      <c r="D12" s="8"/>
      <c r="E12" s="8"/>
    </row>
    <row r="13" customFormat="false" ht="15" hidden="false" customHeight="false" outlineLevel="0" collapsed="false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</row>
    <row r="14" customFormat="false" ht="15" hidden="false" customHeight="false" outlineLevel="0" collapsed="false">
      <c r="A14" s="3" t="s">
        <v>31</v>
      </c>
      <c r="B14" s="4" t="n">
        <v>50</v>
      </c>
      <c r="C14" s="9" t="n">
        <f aca="false">B14*$B$10</f>
        <v>0</v>
      </c>
      <c r="D14" s="10" t="n">
        <v>5</v>
      </c>
      <c r="E14" s="9" t="n">
        <f aca="false">C14+D14</f>
        <v>5</v>
      </c>
    </row>
    <row r="15" customFormat="false" ht="15" hidden="false" customHeight="false" outlineLevel="0" collapsed="false">
      <c r="A15" s="11" t="s">
        <v>32</v>
      </c>
      <c r="B15" s="12" t="n">
        <v>200</v>
      </c>
      <c r="C15" s="13" t="n">
        <f aca="false">B15*$B$10</f>
        <v>0</v>
      </c>
      <c r="D15" s="14" t="n">
        <v>5</v>
      </c>
      <c r="E15" s="13" t="n">
        <f aca="false">C15+D15</f>
        <v>5</v>
      </c>
    </row>
    <row r="16" customFormat="false" ht="15" hidden="false" customHeight="false" outlineLevel="0" collapsed="false">
      <c r="A16" s="3" t="s">
        <v>33</v>
      </c>
      <c r="B16" s="4" t="n">
        <v>500</v>
      </c>
      <c r="C16" s="9" t="n">
        <f aca="false">B16*$B$10</f>
        <v>0</v>
      </c>
      <c r="D16" s="10" t="n">
        <v>5</v>
      </c>
      <c r="E16" s="9" t="n">
        <f aca="false">C16+D16</f>
        <v>5</v>
      </c>
    </row>
    <row r="17" customFormat="false" ht="15" hidden="false" customHeight="false" outlineLevel="0" collapsed="false">
      <c r="A17" s="11" t="s">
        <v>34</v>
      </c>
      <c r="B17" s="12" t="n">
        <v>1000</v>
      </c>
      <c r="C17" s="13" t="n">
        <f aca="false">B17*$B$10</f>
        <v>0</v>
      </c>
      <c r="D17" s="14" t="n">
        <v>5</v>
      </c>
      <c r="E17" s="13" t="n">
        <f aca="false">C17+D17</f>
        <v>5</v>
      </c>
    </row>
    <row r="18" customFormat="false" ht="15" hidden="false" customHeight="false" outlineLevel="0" collapsed="false">
      <c r="A18" s="3" t="s">
        <v>35</v>
      </c>
      <c r="B18" s="4" t="n">
        <v>5000</v>
      </c>
      <c r="C18" s="9" t="n">
        <f aca="false">B18*$B$10</f>
        <v>0</v>
      </c>
      <c r="D18" s="10" t="n">
        <v>5</v>
      </c>
      <c r="E18" s="9" t="n">
        <f aca="false">C18+D18</f>
        <v>5</v>
      </c>
    </row>
  </sheetData>
  <mergeCells count="2">
    <mergeCell ref="A1:E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36</v>
      </c>
      <c r="B1" s="1"/>
      <c r="C1" s="1"/>
      <c r="D1" s="1"/>
    </row>
    <row r="3" customFormat="false" ht="15" hidden="false" customHeight="false" outlineLevel="0" collapsed="false">
      <c r="A3" s="2" t="s">
        <v>37</v>
      </c>
      <c r="B3" s="2" t="s">
        <v>38</v>
      </c>
      <c r="C3" s="2" t="s">
        <v>39</v>
      </c>
      <c r="D3" s="2" t="s">
        <v>40</v>
      </c>
    </row>
    <row r="4" customFormat="false" ht="15" hidden="false" customHeight="false" outlineLevel="0" collapsed="false">
      <c r="A4" s="15" t="s">
        <v>41</v>
      </c>
      <c r="B4" s="16"/>
      <c r="C4" s="16"/>
      <c r="D4" s="16"/>
    </row>
    <row r="5" customFormat="false" ht="15" hidden="false" customHeight="false" outlineLevel="0" collapsed="false">
      <c r="A5" s="3" t="s">
        <v>42</v>
      </c>
      <c r="B5" s="4" t="n">
        <v>4</v>
      </c>
      <c r="C5" s="4" t="n">
        <v>150</v>
      </c>
      <c r="D5" s="17" t="n">
        <f aca="false">B5*C5</f>
        <v>600</v>
      </c>
    </row>
    <row r="6" customFormat="false" ht="15" hidden="false" customHeight="false" outlineLevel="0" collapsed="false">
      <c r="A6" s="3" t="s">
        <v>43</v>
      </c>
      <c r="B6" s="4" t="n">
        <v>6</v>
      </c>
      <c r="C6" s="4" t="n">
        <v>150</v>
      </c>
      <c r="D6" s="17" t="n">
        <f aca="false">B6*C6</f>
        <v>900</v>
      </c>
    </row>
    <row r="7" customFormat="false" ht="15" hidden="false" customHeight="false" outlineLevel="0" collapsed="false">
      <c r="A7" s="3" t="s">
        <v>44</v>
      </c>
      <c r="B7" s="4" t="n">
        <v>8</v>
      </c>
      <c r="C7" s="4" t="n">
        <v>150</v>
      </c>
      <c r="D7" s="17" t="n">
        <f aca="false">B7*C7</f>
        <v>1200</v>
      </c>
    </row>
    <row r="8" customFormat="false" ht="15" hidden="false" customHeight="false" outlineLevel="0" collapsed="false">
      <c r="A8" s="3" t="s">
        <v>45</v>
      </c>
      <c r="B8" s="4" t="n">
        <v>3</v>
      </c>
      <c r="C8" s="4" t="n">
        <v>150</v>
      </c>
      <c r="D8" s="17" t="n">
        <f aca="false">B8*C8</f>
        <v>450</v>
      </c>
    </row>
    <row r="9" customFormat="false" ht="15" hidden="false" customHeight="false" outlineLevel="0" collapsed="false">
      <c r="A9" s="3" t="s">
        <v>46</v>
      </c>
      <c r="B9" s="4" t="n">
        <v>2</v>
      </c>
      <c r="C9" s="4" t="n">
        <v>120</v>
      </c>
      <c r="D9" s="17" t="n">
        <f aca="false">B9*C9</f>
        <v>240</v>
      </c>
    </row>
    <row r="11" customFormat="false" ht="15" hidden="false" customHeight="false" outlineLevel="0" collapsed="false">
      <c r="A11" s="15" t="s">
        <v>47</v>
      </c>
      <c r="B11" s="16"/>
      <c r="C11" s="16"/>
      <c r="D11" s="16"/>
    </row>
    <row r="12" customFormat="false" ht="15" hidden="false" customHeight="false" outlineLevel="0" collapsed="false">
      <c r="A12" s="3" t="s">
        <v>48</v>
      </c>
      <c r="B12" s="4" t="n">
        <v>6</v>
      </c>
      <c r="C12" s="4" t="n">
        <v>150</v>
      </c>
      <c r="D12" s="17" t="n">
        <f aca="false">B12*C12</f>
        <v>900</v>
      </c>
    </row>
    <row r="13" customFormat="false" ht="15" hidden="false" customHeight="false" outlineLevel="0" collapsed="false">
      <c r="A13" s="3" t="s">
        <v>49</v>
      </c>
      <c r="B13" s="4" t="n">
        <v>8</v>
      </c>
      <c r="C13" s="4" t="n">
        <v>150</v>
      </c>
      <c r="D13" s="17" t="n">
        <f aca="false">B13*C13</f>
        <v>1200</v>
      </c>
    </row>
    <row r="14" customFormat="false" ht="15" hidden="false" customHeight="false" outlineLevel="0" collapsed="false">
      <c r="A14" s="3" t="s">
        <v>50</v>
      </c>
      <c r="B14" s="4" t="n">
        <v>8</v>
      </c>
      <c r="C14" s="4" t="n">
        <v>150</v>
      </c>
      <c r="D14" s="17" t="n">
        <f aca="false">B14*C14</f>
        <v>1200</v>
      </c>
    </row>
    <row r="15" customFormat="false" ht="15" hidden="false" customHeight="false" outlineLevel="0" collapsed="false">
      <c r="A15" s="3" t="s">
        <v>51</v>
      </c>
      <c r="B15" s="4" t="n">
        <v>12</v>
      </c>
      <c r="C15" s="4" t="n">
        <v>150</v>
      </c>
      <c r="D15" s="17" t="n">
        <f aca="false">B15*C15</f>
        <v>1800</v>
      </c>
    </row>
    <row r="16" customFormat="false" ht="15" hidden="false" customHeight="false" outlineLevel="0" collapsed="false">
      <c r="A16" s="3" t="s">
        <v>52</v>
      </c>
      <c r="B16" s="4" t="n">
        <v>6</v>
      </c>
      <c r="C16" s="4" t="n">
        <v>150</v>
      </c>
      <c r="D16" s="17" t="n">
        <f aca="false">B16*C16</f>
        <v>900</v>
      </c>
    </row>
    <row r="17" customFormat="false" ht="15" hidden="false" customHeight="false" outlineLevel="0" collapsed="false">
      <c r="A17" s="3" t="s">
        <v>53</v>
      </c>
      <c r="B17" s="4" t="n">
        <v>4</v>
      </c>
      <c r="C17" s="4" t="n">
        <v>150</v>
      </c>
      <c r="D17" s="17" t="n">
        <f aca="false">B17*C17</f>
        <v>600</v>
      </c>
    </row>
    <row r="18" customFormat="false" ht="15" hidden="false" customHeight="false" outlineLevel="0" collapsed="false">
      <c r="A18" s="3" t="s">
        <v>54</v>
      </c>
      <c r="B18" s="4" t="n">
        <v>16</v>
      </c>
      <c r="C18" s="4" t="n">
        <v>150</v>
      </c>
      <c r="D18" s="17" t="n">
        <f aca="false">B18*C18</f>
        <v>2400</v>
      </c>
    </row>
    <row r="19" customFormat="false" ht="15" hidden="false" customHeight="false" outlineLevel="0" collapsed="false">
      <c r="A19" s="3" t="s">
        <v>55</v>
      </c>
      <c r="B19" s="4" t="n">
        <v>6</v>
      </c>
      <c r="C19" s="4" t="n">
        <v>120</v>
      </c>
      <c r="D19" s="17" t="n">
        <f aca="false">B19*C19</f>
        <v>720</v>
      </c>
    </row>
    <row r="21" customFormat="false" ht="15" hidden="false" customHeight="false" outlineLevel="0" collapsed="false">
      <c r="A21" s="15" t="s">
        <v>56</v>
      </c>
      <c r="B21" s="16"/>
      <c r="C21" s="16"/>
      <c r="D21" s="16"/>
    </row>
    <row r="22" customFormat="false" ht="15" hidden="false" customHeight="false" outlineLevel="0" collapsed="false">
      <c r="A22" s="3" t="s">
        <v>57</v>
      </c>
      <c r="B22" s="4" t="n">
        <v>12</v>
      </c>
      <c r="C22" s="4" t="n">
        <v>130</v>
      </c>
      <c r="D22" s="17" t="n">
        <f aca="false">B22*C22</f>
        <v>1560</v>
      </c>
    </row>
    <row r="23" customFormat="false" ht="15" hidden="false" customHeight="false" outlineLevel="0" collapsed="false">
      <c r="A23" s="3" t="s">
        <v>58</v>
      </c>
      <c r="B23" s="4" t="n">
        <v>4</v>
      </c>
      <c r="C23" s="4" t="n">
        <v>130</v>
      </c>
      <c r="D23" s="17" t="n">
        <f aca="false">B23*C23</f>
        <v>520</v>
      </c>
    </row>
    <row r="24" customFormat="false" ht="15" hidden="false" customHeight="false" outlineLevel="0" collapsed="false">
      <c r="A24" s="3" t="s">
        <v>59</v>
      </c>
      <c r="B24" s="4" t="n">
        <v>8</v>
      </c>
      <c r="C24" s="4" t="n">
        <v>130</v>
      </c>
      <c r="D24" s="17" t="n">
        <f aca="false">B24*C24</f>
        <v>1040</v>
      </c>
    </row>
    <row r="25" customFormat="false" ht="15" hidden="false" customHeight="false" outlineLevel="0" collapsed="false">
      <c r="A25" s="3" t="s">
        <v>60</v>
      </c>
      <c r="B25" s="4" t="n">
        <v>6</v>
      </c>
      <c r="C25" s="4" t="n">
        <v>130</v>
      </c>
      <c r="D25" s="17" t="n">
        <f aca="false">B25*C25</f>
        <v>780</v>
      </c>
    </row>
    <row r="26" customFormat="false" ht="15" hidden="false" customHeight="false" outlineLevel="0" collapsed="false">
      <c r="A26" s="3" t="s">
        <v>61</v>
      </c>
      <c r="B26" s="4" t="n">
        <v>8</v>
      </c>
      <c r="C26" s="4" t="n">
        <v>150</v>
      </c>
      <c r="D26" s="17" t="n">
        <f aca="false">B26*C26</f>
        <v>1200</v>
      </c>
    </row>
    <row r="27" customFormat="false" ht="15" hidden="false" customHeight="false" outlineLevel="0" collapsed="false">
      <c r="A27" s="3" t="s">
        <v>62</v>
      </c>
      <c r="B27" s="4" t="n">
        <v>4</v>
      </c>
      <c r="C27" s="4" t="n">
        <v>130</v>
      </c>
      <c r="D27" s="17" t="n">
        <f aca="false">B27*C27</f>
        <v>520</v>
      </c>
    </row>
    <row r="29" customFormat="false" ht="15" hidden="false" customHeight="false" outlineLevel="0" collapsed="false">
      <c r="A29" s="15" t="s">
        <v>63</v>
      </c>
      <c r="B29" s="16"/>
      <c r="C29" s="16"/>
      <c r="D29" s="16"/>
    </row>
    <row r="30" customFormat="false" ht="15" hidden="false" customHeight="false" outlineLevel="0" collapsed="false">
      <c r="A30" s="3" t="s">
        <v>64</v>
      </c>
      <c r="B30" s="4" t="n">
        <v>6</v>
      </c>
      <c r="C30" s="4" t="n">
        <v>120</v>
      </c>
      <c r="D30" s="17" t="n">
        <f aca="false">B30*C30</f>
        <v>720</v>
      </c>
    </row>
    <row r="31" customFormat="false" ht="15" hidden="false" customHeight="false" outlineLevel="0" collapsed="false">
      <c r="A31" s="3" t="s">
        <v>65</v>
      </c>
      <c r="B31" s="4" t="n">
        <v>4</v>
      </c>
      <c r="C31" s="4" t="n">
        <v>120</v>
      </c>
      <c r="D31" s="17" t="n">
        <f aca="false">B31*C31</f>
        <v>480</v>
      </c>
    </row>
    <row r="32" customFormat="false" ht="15" hidden="false" customHeight="false" outlineLevel="0" collapsed="false">
      <c r="A32" s="3" t="s">
        <v>66</v>
      </c>
      <c r="B32" s="4" t="n">
        <v>4</v>
      </c>
      <c r="C32" s="4" t="n">
        <v>120</v>
      </c>
      <c r="D32" s="17" t="n">
        <f aca="false">B32*C32</f>
        <v>480</v>
      </c>
    </row>
    <row r="33" customFormat="false" ht="15" hidden="false" customHeight="false" outlineLevel="0" collapsed="false">
      <c r="A33" s="3" t="s">
        <v>67</v>
      </c>
      <c r="B33" s="4" t="n">
        <v>4</v>
      </c>
      <c r="C33" s="4" t="n">
        <v>120</v>
      </c>
      <c r="D33" s="17" t="n">
        <f aca="false">B33*C33</f>
        <v>480</v>
      </c>
    </row>
    <row r="34" customFormat="false" ht="15" hidden="false" customHeight="false" outlineLevel="0" collapsed="false">
      <c r="A34" s="3" t="s">
        <v>68</v>
      </c>
      <c r="B34" s="4" t="n">
        <v>4</v>
      </c>
      <c r="C34" s="4" t="n">
        <v>120</v>
      </c>
      <c r="D34" s="17" t="n">
        <f aca="false">B34*C34</f>
        <v>480</v>
      </c>
    </row>
    <row r="35" customFormat="false" ht="15" hidden="false" customHeight="false" outlineLevel="0" collapsed="false">
      <c r="A35" s="3" t="s">
        <v>69</v>
      </c>
      <c r="B35" s="4" t="n">
        <v>4</v>
      </c>
      <c r="C35" s="4" t="n">
        <v>120</v>
      </c>
      <c r="D35" s="17" t="n">
        <f aca="false">B35*C35</f>
        <v>480</v>
      </c>
    </row>
    <row r="37" customFormat="false" ht="15" hidden="false" customHeight="false" outlineLevel="0" collapsed="false">
      <c r="A37" s="15" t="s">
        <v>70</v>
      </c>
      <c r="B37" s="16"/>
      <c r="C37" s="16"/>
      <c r="D37" s="16"/>
    </row>
    <row r="38" customFormat="false" ht="15" hidden="false" customHeight="false" outlineLevel="0" collapsed="false">
      <c r="A38" s="3" t="s">
        <v>71</v>
      </c>
      <c r="B38" s="4" t="n">
        <v>4</v>
      </c>
      <c r="C38" s="4" t="n">
        <v>130</v>
      </c>
      <c r="D38" s="17" t="n">
        <f aca="false">B38*C38</f>
        <v>520</v>
      </c>
    </row>
    <row r="39" customFormat="false" ht="15" hidden="false" customHeight="false" outlineLevel="0" collapsed="false">
      <c r="A39" s="3" t="s">
        <v>72</v>
      </c>
      <c r="B39" s="4" t="n">
        <v>3</v>
      </c>
      <c r="C39" s="4" t="n">
        <v>130</v>
      </c>
      <c r="D39" s="17" t="n">
        <f aca="false">B39*C39</f>
        <v>390</v>
      </c>
    </row>
    <row r="40" customFormat="false" ht="15" hidden="false" customHeight="false" outlineLevel="0" collapsed="false">
      <c r="A40" s="3" t="s">
        <v>73</v>
      </c>
      <c r="B40" s="4" t="n">
        <v>2</v>
      </c>
      <c r="C40" s="4" t="n">
        <v>130</v>
      </c>
      <c r="D40" s="17" t="n">
        <f aca="false">B40*C40</f>
        <v>260</v>
      </c>
    </row>
    <row r="41" customFormat="false" ht="15" hidden="false" customHeight="false" outlineLevel="0" collapsed="false">
      <c r="A41" s="3" t="s">
        <v>74</v>
      </c>
      <c r="B41" s="4" t="n">
        <v>2</v>
      </c>
      <c r="C41" s="4" t="n">
        <v>130</v>
      </c>
      <c r="D41" s="17" t="n">
        <f aca="false">B41*C41</f>
        <v>260</v>
      </c>
    </row>
    <row r="42" customFormat="false" ht="15" hidden="false" customHeight="false" outlineLevel="0" collapsed="false">
      <c r="A42" s="3" t="s">
        <v>75</v>
      </c>
      <c r="B42" s="4" t="n">
        <v>3</v>
      </c>
      <c r="C42" s="4" t="n">
        <v>130</v>
      </c>
      <c r="D42" s="17" t="n">
        <f aca="false">B42*C42</f>
        <v>390</v>
      </c>
    </row>
    <row r="43" customFormat="false" ht="15" hidden="false" customHeight="false" outlineLevel="0" collapsed="false">
      <c r="A43" s="3" t="s">
        <v>76</v>
      </c>
      <c r="B43" s="4" t="n">
        <v>2</v>
      </c>
      <c r="C43" s="4" t="n">
        <v>120</v>
      </c>
      <c r="D43" s="17" t="n">
        <f aca="false">B43*C43</f>
        <v>240</v>
      </c>
    </row>
    <row r="45" customFormat="false" ht="15" hidden="false" customHeight="false" outlineLevel="0" collapsed="false">
      <c r="A45" s="15" t="s">
        <v>77</v>
      </c>
      <c r="B45" s="16"/>
      <c r="C45" s="16"/>
      <c r="D45" s="16"/>
    </row>
    <row r="46" customFormat="false" ht="15" hidden="false" customHeight="false" outlineLevel="0" collapsed="false">
      <c r="A46" s="3" t="s">
        <v>78</v>
      </c>
      <c r="B46" s="4" t="n">
        <v>4</v>
      </c>
      <c r="C46" s="4" t="n">
        <v>100</v>
      </c>
      <c r="D46" s="17" t="n">
        <f aca="false">B46*C46</f>
        <v>400</v>
      </c>
    </row>
    <row r="47" customFormat="false" ht="15" hidden="false" customHeight="false" outlineLevel="0" collapsed="false">
      <c r="A47" s="3" t="s">
        <v>79</v>
      </c>
      <c r="B47" s="4" t="n">
        <v>12</v>
      </c>
      <c r="C47" s="4" t="n">
        <v>120</v>
      </c>
      <c r="D47" s="17" t="n">
        <f aca="false">B47*C47</f>
        <v>1440</v>
      </c>
    </row>
    <row r="48" customFormat="false" ht="15" hidden="false" customHeight="false" outlineLevel="0" collapsed="false">
      <c r="A48" s="3" t="s">
        <v>80</v>
      </c>
      <c r="B48" s="4" t="n">
        <v>16</v>
      </c>
      <c r="C48" s="4" t="n">
        <v>130</v>
      </c>
      <c r="D48" s="17" t="n">
        <f aca="false">B48*C48</f>
        <v>2080</v>
      </c>
    </row>
    <row r="49" customFormat="false" ht="15" hidden="false" customHeight="false" outlineLevel="0" collapsed="false">
      <c r="A49" s="3" t="s">
        <v>81</v>
      </c>
      <c r="B49" s="4" t="n">
        <v>2</v>
      </c>
      <c r="C49" s="4" t="n">
        <v>100</v>
      </c>
      <c r="D49" s="17" t="n">
        <f aca="false">B49*C49</f>
        <v>200</v>
      </c>
    </row>
    <row r="51" customFormat="false" ht="15" hidden="false" customHeight="false" outlineLevel="0" collapsed="false">
      <c r="A51" s="18" t="s">
        <v>82</v>
      </c>
      <c r="B51" s="19" t="n">
        <f aca="false">SUMPRODUCT((B4:B49&lt;&gt;"")*(B4:B49))</f>
        <v>207</v>
      </c>
    </row>
    <row r="52" customFormat="false" ht="17.35" hidden="false" customHeight="false" outlineLevel="0" collapsed="false">
      <c r="A52" s="20" t="s">
        <v>83</v>
      </c>
      <c r="B52" s="21"/>
      <c r="C52" s="21"/>
      <c r="D52" s="22" t="n">
        <f aca="false">SUMPRODUCT((D4:D49&lt;&gt;"")*(D4:D49))</f>
        <v>28030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84</v>
      </c>
      <c r="B1" s="1"/>
    </row>
    <row r="3" customFormat="false" ht="15" hidden="false" customHeight="false" outlineLevel="0" collapsed="false">
      <c r="A3" s="23"/>
      <c r="B3" s="24"/>
    </row>
    <row r="4" customFormat="false" ht="15" hidden="false" customHeight="false" outlineLevel="0" collapsed="false">
      <c r="A4" s="15" t="s">
        <v>85</v>
      </c>
      <c r="B4" s="16"/>
    </row>
    <row r="5" customFormat="false" ht="15" hidden="false" customHeight="false" outlineLevel="0" collapsed="false">
      <c r="A5" s="23" t="s">
        <v>86</v>
      </c>
      <c r="B5" s="24" t="s">
        <v>87</v>
      </c>
    </row>
    <row r="6" customFormat="false" ht="15" hidden="false" customHeight="false" outlineLevel="0" collapsed="false">
      <c r="A6" s="23" t="s">
        <v>88</v>
      </c>
      <c r="B6" s="24" t="s">
        <v>89</v>
      </c>
    </row>
    <row r="7" customFormat="false" ht="15" hidden="false" customHeight="false" outlineLevel="0" collapsed="false">
      <c r="A7" s="23" t="s">
        <v>90</v>
      </c>
      <c r="B7" s="24" t="s">
        <v>91</v>
      </c>
    </row>
    <row r="8" customFormat="false" ht="15" hidden="false" customHeight="false" outlineLevel="0" collapsed="false">
      <c r="A8" s="23" t="s">
        <v>92</v>
      </c>
      <c r="B8" s="24" t="s">
        <v>93</v>
      </c>
    </row>
    <row r="9" customFormat="false" ht="15" hidden="false" customHeight="false" outlineLevel="0" collapsed="false">
      <c r="A9" s="23" t="s">
        <v>94</v>
      </c>
      <c r="B9" s="24" t="s">
        <v>95</v>
      </c>
    </row>
    <row r="10" customFormat="false" ht="15" hidden="false" customHeight="false" outlineLevel="0" collapsed="false">
      <c r="A10" s="23" t="s">
        <v>96</v>
      </c>
      <c r="B10" s="24" t="s">
        <v>97</v>
      </c>
    </row>
    <row r="11" customFormat="false" ht="15" hidden="false" customHeight="false" outlineLevel="0" collapsed="false">
      <c r="A11" s="23"/>
      <c r="B11" s="24"/>
    </row>
    <row r="12" customFormat="false" ht="15" hidden="false" customHeight="false" outlineLevel="0" collapsed="false">
      <c r="A12" s="15" t="s">
        <v>98</v>
      </c>
      <c r="B12" s="16"/>
    </row>
    <row r="13" customFormat="false" ht="15" hidden="false" customHeight="false" outlineLevel="0" collapsed="false">
      <c r="A13" s="23" t="s">
        <v>99</v>
      </c>
      <c r="B13" s="24" t="s">
        <v>100</v>
      </c>
    </row>
    <row r="14" customFormat="false" ht="15" hidden="false" customHeight="false" outlineLevel="0" collapsed="false">
      <c r="A14" s="23" t="s">
        <v>101</v>
      </c>
      <c r="B14" s="24" t="s">
        <v>102</v>
      </c>
    </row>
    <row r="15" customFormat="false" ht="15" hidden="false" customHeight="false" outlineLevel="0" collapsed="false">
      <c r="A15" s="23" t="s">
        <v>103</v>
      </c>
      <c r="B15" s="24" t="s">
        <v>104</v>
      </c>
    </row>
    <row r="16" customFormat="false" ht="15" hidden="false" customHeight="false" outlineLevel="0" collapsed="false">
      <c r="A16" s="23" t="s">
        <v>105</v>
      </c>
      <c r="B16" s="24" t="s">
        <v>106</v>
      </c>
    </row>
    <row r="17" customFormat="false" ht="15" hidden="false" customHeight="false" outlineLevel="0" collapsed="false">
      <c r="A17" s="23" t="s">
        <v>107</v>
      </c>
      <c r="B17" s="24" t="s">
        <v>108</v>
      </c>
    </row>
    <row r="18" customFormat="false" ht="15" hidden="false" customHeight="false" outlineLevel="0" collapsed="false">
      <c r="A18" s="23"/>
      <c r="B18" s="24"/>
    </row>
    <row r="19" customFormat="false" ht="15" hidden="false" customHeight="false" outlineLevel="0" collapsed="false">
      <c r="A19" s="15" t="s">
        <v>109</v>
      </c>
      <c r="B19" s="16"/>
    </row>
    <row r="20" customFormat="false" ht="15" hidden="false" customHeight="false" outlineLevel="0" collapsed="false">
      <c r="A20" s="23" t="s">
        <v>110</v>
      </c>
      <c r="B20" s="24" t="s">
        <v>111</v>
      </c>
    </row>
    <row r="21" customFormat="false" ht="15" hidden="false" customHeight="false" outlineLevel="0" collapsed="false">
      <c r="A21" s="23" t="s">
        <v>112</v>
      </c>
      <c r="B21" s="24" t="s">
        <v>113</v>
      </c>
    </row>
    <row r="22" customFormat="false" ht="15" hidden="false" customHeight="false" outlineLevel="0" collapsed="false">
      <c r="A22" s="23" t="s">
        <v>114</v>
      </c>
      <c r="B22" s="24" t="s">
        <v>115</v>
      </c>
    </row>
    <row r="23" customFormat="false" ht="15" hidden="false" customHeight="false" outlineLevel="0" collapsed="false">
      <c r="A23" s="23" t="s">
        <v>116</v>
      </c>
      <c r="B23" s="24" t="s">
        <v>117</v>
      </c>
    </row>
    <row r="24" customFormat="false" ht="15" hidden="false" customHeight="false" outlineLevel="0" collapsed="false">
      <c r="A24" s="23"/>
      <c r="B24" s="24"/>
    </row>
    <row r="25" customFormat="false" ht="17.35" hidden="false" customHeight="false" outlineLevel="0" collapsed="false">
      <c r="A25" s="25" t="s">
        <v>118</v>
      </c>
      <c r="B25" s="25" t="s">
        <v>115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2026-06-03T10:47:08Z</dcterms:created>
  <dc:creator>openpyxl</dc:creator>
  <dc:description/>
  <dc:language>en-US</dc:language>
  <cp:lastModifiedBy/>
  <dcterms:modified xsi:type="dcterms:W3CDTF">2026-06-03T10:47:08Z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